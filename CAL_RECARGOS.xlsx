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7ee83c10bf2989/Escritorio/"/>
    </mc:Choice>
  </mc:AlternateContent>
  <xr:revisionPtr revIDLastSave="92" documentId="8_{265DDC4A-2846-40C0-A39D-898DB996D2CD}" xr6:coauthVersionLast="47" xr6:coauthVersionMax="47" xr10:uidLastSave="{620B6114-0384-43A7-986E-2E8CBDC13C21}"/>
  <bookViews>
    <workbookView xWindow="-120" yWindow="-120" windowWidth="38640" windowHeight="21120" xr2:uid="{9088812A-F31E-4E51-9FC7-8A66030011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10" i="1" l="1"/>
  <c r="AR10" i="1"/>
  <c r="AQ10" i="1"/>
  <c r="AP10" i="1"/>
  <c r="AO10" i="1"/>
  <c r="AN10" i="1"/>
  <c r="AM10" i="1"/>
  <c r="AR9" i="1"/>
  <c r="AQ9" i="1"/>
  <c r="AP9" i="1"/>
  <c r="AO9" i="1"/>
  <c r="AN9" i="1"/>
  <c r="AM9" i="1"/>
  <c r="AL9" i="1"/>
  <c r="AR8" i="1"/>
  <c r="AQ8" i="1"/>
  <c r="AP8" i="1"/>
  <c r="AO8" i="1"/>
  <c r="AN8" i="1"/>
  <c r="AM8" i="1"/>
  <c r="AL8" i="1"/>
  <c r="S13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C10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C9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C8" i="1"/>
  <c r="AS8" i="1" l="1"/>
  <c r="AU8" i="1" s="1"/>
  <c r="AS9" i="1"/>
  <c r="AU9" i="1" s="1"/>
  <c r="AS10" i="1"/>
  <c r="AU10" i="1" s="1"/>
  <c r="J13" i="1" l="1"/>
  <c r="B13" i="1" s="1"/>
  <c r="J16" i="1" s="1"/>
</calcChain>
</file>

<file path=xl/sharedStrings.xml><?xml version="1.0" encoding="utf-8"?>
<sst xmlns="http://schemas.openxmlformats.org/spreadsheetml/2006/main" count="55" uniqueCount="20">
  <si>
    <t>M</t>
  </si>
  <si>
    <t>TU</t>
  </si>
  <si>
    <t>W</t>
  </si>
  <si>
    <t>TH</t>
  </si>
  <si>
    <t>F</t>
  </si>
  <si>
    <t>SA</t>
  </si>
  <si>
    <t>SU</t>
  </si>
  <si>
    <t>TURNOS</t>
  </si>
  <si>
    <t>NOCTURNOS</t>
  </si>
  <si>
    <t>DOM NOC</t>
  </si>
  <si>
    <t>DOM DIU</t>
  </si>
  <si>
    <t xml:space="preserve"> </t>
  </si>
  <si>
    <t>FESTIVOS (1:SI;0:NO)</t>
  </si>
  <si>
    <t>TOTAL</t>
  </si>
  <si>
    <t>RECARGO</t>
  </si>
  <si>
    <t>TOTAL + RECARGOS</t>
  </si>
  <si>
    <t>SALARIO + RECARGOS</t>
  </si>
  <si>
    <t>CON DESCUENTOS APROX</t>
  </si>
  <si>
    <t>RECARGOS</t>
  </si>
  <si>
    <t>SALARIO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</si>
</sst>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Border="1"/>
    <xf numFmtId="0" fontId="0" fillId="2" borderId="0" xfId="0" applyFill="1" applyBorder="1"/>
    <xf numFmtId="164" fontId="0" fillId="2" borderId="0" xfId="0" applyNumberFormat="1" applyFill="1" applyBorder="1"/>
    <xf numFmtId="164" fontId="0" fillId="2" borderId="0" xfId="0" applyNumberFormat="1" applyFill="1" applyBorder="1" applyAlignment="1">
      <alignment horizontal="center"/>
    </xf>
    <xf numFmtId="0" fontId="0" fillId="2" borderId="15" xfId="0" applyFill="1" applyBorder="1"/>
    <xf numFmtId="0" fontId="0" fillId="2" borderId="17" xfId="0" applyFill="1" applyBorder="1"/>
    <xf numFmtId="0" fontId="0" fillId="2" borderId="20" xfId="0" applyFill="1" applyBorder="1"/>
    <xf numFmtId="0" fontId="1" fillId="2" borderId="1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/>
    <xf numFmtId="0" fontId="0" fillId="2" borderId="30" xfId="0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6" xfId="0" applyFill="1" applyBorder="1"/>
    <xf numFmtId="0" fontId="0" fillId="2" borderId="18" xfId="0" applyFill="1" applyBorder="1"/>
    <xf numFmtId="164" fontId="0" fillId="2" borderId="19" xfId="0" applyNumberFormat="1" applyFill="1" applyBorder="1"/>
    <xf numFmtId="0" fontId="0" fillId="2" borderId="19" xfId="0" applyFill="1" applyBorder="1"/>
    <xf numFmtId="0" fontId="0" fillId="0" borderId="16" xfId="0" applyBorder="1"/>
  </cellXfs>
  <cellStyles count="1">
    <cellStyle name="Normal" xfId="0" builtinId="0"/>
  </cellStyles>
  <dxfs count="9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2EF2-D908-42D3-B74D-D5BB12D6775A}">
  <dimension ref="A1:XFD21"/>
  <sheetViews>
    <sheetView tabSelected="1" zoomScale="115" zoomScaleNormal="115" workbookViewId="0">
      <selection activeCell="X18" sqref="X18"/>
    </sheetView>
  </sheetViews>
  <sheetFormatPr baseColWidth="10" defaultColWidth="0" defaultRowHeight="15" zeroHeight="1" x14ac:dyDescent="0.25"/>
  <cols>
    <col min="1" max="1" width="2.85546875" style="50" customWidth="1"/>
    <col min="2" max="2" width="23.7109375" style="1" customWidth="1"/>
    <col min="3" max="3" width="6.85546875" style="1" customWidth="1"/>
    <col min="4" max="44" width="5.42578125" style="1" customWidth="1"/>
    <col min="45" max="46" width="11.42578125" customWidth="1"/>
    <col min="47" max="47" width="22" customWidth="1"/>
    <col min="48" max="48" width="11.42578125" customWidth="1"/>
    <col min="49" max="16383" width="11.42578125" hidden="1"/>
    <col min="16384" max="16384" width="2.28515625" hidden="1"/>
  </cols>
  <sheetData>
    <row r="1" spans="1:48" ht="15.75" thickBot="1" x14ac:dyDescent="0.3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5"/>
    </row>
    <row r="2" spans="1:48" ht="15.75" thickBot="1" x14ac:dyDescent="0.3">
      <c r="A2" s="46"/>
      <c r="B2" s="2"/>
      <c r="C2" s="24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"/>
      <c r="AT2" s="2"/>
      <c r="AU2" s="2"/>
      <c r="AV2" s="6"/>
    </row>
    <row r="3" spans="1:48" ht="15.75" thickBot="1" x14ac:dyDescent="0.3">
      <c r="A3" s="46"/>
      <c r="B3" s="42" t="s">
        <v>12</v>
      </c>
      <c r="C3" s="41">
        <v>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  <c r="I3" s="39">
        <v>1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1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1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1</v>
      </c>
      <c r="AE3" s="39">
        <v>0</v>
      </c>
      <c r="AF3" s="39">
        <v>0</v>
      </c>
      <c r="AG3" s="39">
        <v>0</v>
      </c>
      <c r="AH3" s="39">
        <v>0</v>
      </c>
      <c r="AI3" s="39">
        <v>0</v>
      </c>
      <c r="AJ3" s="39">
        <v>0</v>
      </c>
      <c r="AK3" s="40">
        <v>1</v>
      </c>
      <c r="AL3" s="39">
        <v>0</v>
      </c>
      <c r="AM3" s="39">
        <v>0</v>
      </c>
      <c r="AN3" s="39">
        <v>0</v>
      </c>
      <c r="AO3" s="39">
        <v>0</v>
      </c>
      <c r="AP3" s="39">
        <v>0</v>
      </c>
      <c r="AQ3" s="39">
        <v>0</v>
      </c>
      <c r="AR3" s="40">
        <v>1</v>
      </c>
      <c r="AS3" s="2"/>
      <c r="AT3" s="2"/>
      <c r="AU3" s="2"/>
      <c r="AV3" s="6"/>
    </row>
    <row r="4" spans="1:48" ht="30" customHeight="1" thickBot="1" x14ac:dyDescent="0.3">
      <c r="A4" s="46"/>
      <c r="B4" s="2"/>
      <c r="C4" s="41" t="s">
        <v>0</v>
      </c>
      <c r="D4" s="39" t="s">
        <v>1</v>
      </c>
      <c r="E4" s="39" t="s">
        <v>2</v>
      </c>
      <c r="F4" s="39" t="s">
        <v>3</v>
      </c>
      <c r="G4" s="39" t="s">
        <v>4</v>
      </c>
      <c r="H4" s="39" t="s">
        <v>5</v>
      </c>
      <c r="I4" s="39" t="s">
        <v>6</v>
      </c>
      <c r="J4" s="39" t="s">
        <v>0</v>
      </c>
      <c r="K4" s="39" t="s">
        <v>1</v>
      </c>
      <c r="L4" s="39" t="s">
        <v>2</v>
      </c>
      <c r="M4" s="39" t="s">
        <v>3</v>
      </c>
      <c r="N4" s="39" t="s">
        <v>4</v>
      </c>
      <c r="O4" s="39" t="s">
        <v>5</v>
      </c>
      <c r="P4" s="39" t="s">
        <v>6</v>
      </c>
      <c r="Q4" s="39" t="s">
        <v>0</v>
      </c>
      <c r="R4" s="39" t="s">
        <v>1</v>
      </c>
      <c r="S4" s="39" t="s">
        <v>2</v>
      </c>
      <c r="T4" s="39" t="s">
        <v>3</v>
      </c>
      <c r="U4" s="39" t="s">
        <v>4</v>
      </c>
      <c r="V4" s="39" t="s">
        <v>5</v>
      </c>
      <c r="W4" s="39" t="s">
        <v>6</v>
      </c>
      <c r="X4" s="39" t="s">
        <v>0</v>
      </c>
      <c r="Y4" s="39" t="s">
        <v>1</v>
      </c>
      <c r="Z4" s="39" t="s">
        <v>2</v>
      </c>
      <c r="AA4" s="39" t="s">
        <v>3</v>
      </c>
      <c r="AB4" s="39" t="s">
        <v>4</v>
      </c>
      <c r="AC4" s="39" t="s">
        <v>5</v>
      </c>
      <c r="AD4" s="39" t="s">
        <v>6</v>
      </c>
      <c r="AE4" s="39" t="s">
        <v>0</v>
      </c>
      <c r="AF4" s="39" t="s">
        <v>1</v>
      </c>
      <c r="AG4" s="39" t="s">
        <v>2</v>
      </c>
      <c r="AH4" s="39" t="s">
        <v>3</v>
      </c>
      <c r="AI4" s="39" t="s">
        <v>4</v>
      </c>
      <c r="AJ4" s="39" t="s">
        <v>5</v>
      </c>
      <c r="AK4" s="40" t="s">
        <v>6</v>
      </c>
      <c r="AL4" s="39" t="s">
        <v>0</v>
      </c>
      <c r="AM4" s="39" t="s">
        <v>1</v>
      </c>
      <c r="AN4" s="39" t="s">
        <v>2</v>
      </c>
      <c r="AO4" s="39" t="s">
        <v>3</v>
      </c>
      <c r="AP4" s="39" t="s">
        <v>4</v>
      </c>
      <c r="AQ4" s="39" t="s">
        <v>5</v>
      </c>
      <c r="AR4" s="40" t="s">
        <v>6</v>
      </c>
      <c r="AS4" s="2"/>
      <c r="AT4" s="2"/>
      <c r="AU4" s="2"/>
      <c r="AV4" s="6"/>
    </row>
    <row r="5" spans="1:48" ht="27.75" customHeight="1" thickBot="1" x14ac:dyDescent="0.3">
      <c r="A5" s="46"/>
      <c r="B5" s="43" t="s">
        <v>7</v>
      </c>
      <c r="C5" s="41" t="s">
        <v>11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  <c r="AL5" s="39"/>
      <c r="AM5" s="39"/>
      <c r="AN5" s="39"/>
      <c r="AO5" s="39"/>
      <c r="AP5" s="39"/>
      <c r="AQ5" s="39"/>
      <c r="AR5" s="40"/>
      <c r="AS5" s="2"/>
      <c r="AT5" s="2"/>
      <c r="AU5" s="2"/>
      <c r="AV5" s="6"/>
    </row>
    <row r="6" spans="1:48" ht="15.75" thickBot="1" x14ac:dyDescent="0.3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6"/>
    </row>
    <row r="7" spans="1:48" ht="15.75" thickBot="1" x14ac:dyDescent="0.3">
      <c r="A7" s="4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4" t="s">
        <v>13</v>
      </c>
      <c r="AT7" s="25" t="s">
        <v>14</v>
      </c>
      <c r="AU7" s="26" t="s">
        <v>15</v>
      </c>
      <c r="AV7" s="6"/>
    </row>
    <row r="8" spans="1:48" ht="24" customHeight="1" x14ac:dyDescent="0.25">
      <c r="A8" s="46"/>
      <c r="B8" s="10" t="s">
        <v>8</v>
      </c>
      <c r="C8" s="11">
        <f>IF(C3=0,IF(B5="N",IF(C5="N",7,IF(C5="A",8.5,5)),IF(C5="N",2,IF(C5="A",3.5,0))),0)</f>
        <v>0</v>
      </c>
      <c r="D8" s="11">
        <f t="shared" ref="D8:AK8" si="0">IF(D3=0,IF(C5="N",IF(D5="N",7,IF(D5="A",8.5,5)),IF(D5="N",2,IF(D5="A",3.5,0))),0)</f>
        <v>0</v>
      </c>
      <c r="E8" s="11">
        <f t="shared" si="0"/>
        <v>0</v>
      </c>
      <c r="F8" s="11">
        <f t="shared" si="0"/>
        <v>0</v>
      </c>
      <c r="G8" s="11">
        <f t="shared" si="0"/>
        <v>0</v>
      </c>
      <c r="H8" s="11">
        <f t="shared" si="0"/>
        <v>0</v>
      </c>
      <c r="I8" s="11">
        <f t="shared" si="0"/>
        <v>0</v>
      </c>
      <c r="J8" s="11">
        <f t="shared" si="0"/>
        <v>0</v>
      </c>
      <c r="K8" s="11">
        <f t="shared" si="0"/>
        <v>0</v>
      </c>
      <c r="L8" s="11">
        <f t="shared" si="0"/>
        <v>0</v>
      </c>
      <c r="M8" s="11">
        <f t="shared" si="0"/>
        <v>0</v>
      </c>
      <c r="N8" s="11">
        <f t="shared" si="0"/>
        <v>0</v>
      </c>
      <c r="O8" s="11">
        <f t="shared" si="0"/>
        <v>0</v>
      </c>
      <c r="P8" s="11">
        <f t="shared" si="0"/>
        <v>0</v>
      </c>
      <c r="Q8" s="11">
        <f t="shared" si="0"/>
        <v>0</v>
      </c>
      <c r="R8" s="11">
        <f t="shared" si="0"/>
        <v>0</v>
      </c>
      <c r="S8" s="11">
        <f t="shared" si="0"/>
        <v>0</v>
      </c>
      <c r="T8" s="11">
        <f t="shared" si="0"/>
        <v>0</v>
      </c>
      <c r="U8" s="11">
        <f t="shared" si="0"/>
        <v>0</v>
      </c>
      <c r="V8" s="11">
        <f t="shared" si="0"/>
        <v>0</v>
      </c>
      <c r="W8" s="11">
        <f t="shared" si="0"/>
        <v>0</v>
      </c>
      <c r="X8" s="11">
        <f t="shared" si="0"/>
        <v>0</v>
      </c>
      <c r="Y8" s="11">
        <f t="shared" si="0"/>
        <v>0</v>
      </c>
      <c r="Z8" s="11">
        <f t="shared" si="0"/>
        <v>0</v>
      </c>
      <c r="AA8" s="11">
        <f t="shared" si="0"/>
        <v>0</v>
      </c>
      <c r="AB8" s="11">
        <f t="shared" si="0"/>
        <v>0</v>
      </c>
      <c r="AC8" s="11">
        <f t="shared" si="0"/>
        <v>0</v>
      </c>
      <c r="AD8" s="11">
        <f t="shared" si="0"/>
        <v>0</v>
      </c>
      <c r="AE8" s="11">
        <f t="shared" si="0"/>
        <v>0</v>
      </c>
      <c r="AF8" s="11">
        <f t="shared" si="0"/>
        <v>0</v>
      </c>
      <c r="AG8" s="11">
        <f t="shared" si="0"/>
        <v>0</v>
      </c>
      <c r="AH8" s="11">
        <f t="shared" si="0"/>
        <v>0</v>
      </c>
      <c r="AI8" s="11">
        <f t="shared" si="0"/>
        <v>0</v>
      </c>
      <c r="AJ8" s="11">
        <f t="shared" si="0"/>
        <v>0</v>
      </c>
      <c r="AK8" s="18">
        <f t="shared" si="0"/>
        <v>0</v>
      </c>
      <c r="AL8" s="11">
        <f t="shared" ref="AL8:AR8" si="1">IF(AL3=0,IF(AK5="N",IF(AL5="N",7,IF(AL5="A",8.5,5)),IF(AL5="N",2,IF(AL5="A",3.5,0))),0)</f>
        <v>0</v>
      </c>
      <c r="AM8" s="11">
        <f t="shared" si="1"/>
        <v>0</v>
      </c>
      <c r="AN8" s="11">
        <f t="shared" si="1"/>
        <v>0</v>
      </c>
      <c r="AO8" s="11">
        <f t="shared" si="1"/>
        <v>0</v>
      </c>
      <c r="AP8" s="11">
        <f t="shared" si="1"/>
        <v>0</v>
      </c>
      <c r="AQ8" s="11">
        <f t="shared" si="1"/>
        <v>0</v>
      </c>
      <c r="AR8" s="11">
        <f t="shared" si="1"/>
        <v>0</v>
      </c>
      <c r="AS8" s="21">
        <f>SUM(C8:AK8)</f>
        <v>0</v>
      </c>
      <c r="AT8" s="22">
        <v>8750</v>
      </c>
      <c r="AU8" s="23">
        <f>AS8*AT8</f>
        <v>0</v>
      </c>
      <c r="AV8" s="6"/>
    </row>
    <row r="9" spans="1:48" ht="24" customHeight="1" x14ac:dyDescent="0.25">
      <c r="A9" s="46"/>
      <c r="B9" s="12" t="s">
        <v>9</v>
      </c>
      <c r="C9" s="8">
        <f>IF(C3=1,IF(B5="N",IF(C5="N",7,IF(C5="A",8.5,5)),IF(C5="N",2,IF(C5="A",3.5,0))),0)</f>
        <v>0</v>
      </c>
      <c r="D9" s="8">
        <f t="shared" ref="D9:AK9" si="2">IF(D3=1,IF(C5="N",IF(D5="N",7,IF(D5="A",8.5,5)),IF(D5="N",2,IF(D5="A",3.5,0))),0)</f>
        <v>0</v>
      </c>
      <c r="E9" s="8">
        <f t="shared" si="2"/>
        <v>0</v>
      </c>
      <c r="F9" s="8">
        <f t="shared" si="2"/>
        <v>0</v>
      </c>
      <c r="G9" s="8">
        <f t="shared" si="2"/>
        <v>0</v>
      </c>
      <c r="H9" s="8">
        <f t="shared" si="2"/>
        <v>0</v>
      </c>
      <c r="I9" s="8">
        <f t="shared" si="2"/>
        <v>0</v>
      </c>
      <c r="J9" s="8">
        <f t="shared" si="2"/>
        <v>0</v>
      </c>
      <c r="K9" s="8">
        <f t="shared" si="2"/>
        <v>0</v>
      </c>
      <c r="L9" s="8">
        <f t="shared" si="2"/>
        <v>0</v>
      </c>
      <c r="M9" s="8">
        <f t="shared" si="2"/>
        <v>0</v>
      </c>
      <c r="N9" s="8">
        <f t="shared" si="2"/>
        <v>0</v>
      </c>
      <c r="O9" s="8">
        <f t="shared" si="2"/>
        <v>0</v>
      </c>
      <c r="P9" s="8">
        <f t="shared" si="2"/>
        <v>0</v>
      </c>
      <c r="Q9" s="8">
        <f t="shared" si="2"/>
        <v>0</v>
      </c>
      <c r="R9" s="8">
        <f t="shared" si="2"/>
        <v>0</v>
      </c>
      <c r="S9" s="8">
        <f t="shared" si="2"/>
        <v>0</v>
      </c>
      <c r="T9" s="8">
        <f t="shared" si="2"/>
        <v>0</v>
      </c>
      <c r="U9" s="8">
        <f t="shared" si="2"/>
        <v>0</v>
      </c>
      <c r="V9" s="8">
        <f t="shared" si="2"/>
        <v>0</v>
      </c>
      <c r="W9" s="8">
        <f t="shared" si="2"/>
        <v>0</v>
      </c>
      <c r="X9" s="8">
        <f t="shared" si="2"/>
        <v>0</v>
      </c>
      <c r="Y9" s="8">
        <f t="shared" si="2"/>
        <v>0</v>
      </c>
      <c r="Z9" s="8">
        <f t="shared" si="2"/>
        <v>0</v>
      </c>
      <c r="AA9" s="8">
        <f t="shared" si="2"/>
        <v>0</v>
      </c>
      <c r="AB9" s="8">
        <f t="shared" si="2"/>
        <v>0</v>
      </c>
      <c r="AC9" s="8">
        <f t="shared" si="2"/>
        <v>0</v>
      </c>
      <c r="AD9" s="8">
        <f t="shared" si="2"/>
        <v>0</v>
      </c>
      <c r="AE9" s="8">
        <f t="shared" si="2"/>
        <v>0</v>
      </c>
      <c r="AF9" s="8">
        <f t="shared" si="2"/>
        <v>0</v>
      </c>
      <c r="AG9" s="8">
        <f t="shared" si="2"/>
        <v>0</v>
      </c>
      <c r="AH9" s="8">
        <f t="shared" si="2"/>
        <v>0</v>
      </c>
      <c r="AI9" s="8">
        <f t="shared" si="2"/>
        <v>0</v>
      </c>
      <c r="AJ9" s="8">
        <f t="shared" si="2"/>
        <v>0</v>
      </c>
      <c r="AK9" s="19">
        <f t="shared" si="2"/>
        <v>0</v>
      </c>
      <c r="AL9" s="8">
        <f t="shared" ref="AL9:AR9" si="3">IF(AL3=1,IF(AK5="N",IF(AL5="N",7,IF(AL5="A",8.5,5)),IF(AL5="N",2,IF(AL5="A",3.5,0))),0)</f>
        <v>0</v>
      </c>
      <c r="AM9" s="8">
        <f t="shared" si="3"/>
        <v>0</v>
      </c>
      <c r="AN9" s="8">
        <f t="shared" si="3"/>
        <v>0</v>
      </c>
      <c r="AO9" s="8">
        <f t="shared" si="3"/>
        <v>0</v>
      </c>
      <c r="AP9" s="8">
        <f t="shared" si="3"/>
        <v>0</v>
      </c>
      <c r="AQ9" s="8">
        <f t="shared" si="3"/>
        <v>0</v>
      </c>
      <c r="AR9" s="8">
        <f t="shared" si="3"/>
        <v>0</v>
      </c>
      <c r="AS9" s="12">
        <f>SUM(C9:AK9)</f>
        <v>0</v>
      </c>
      <c r="AT9" s="9">
        <v>53750</v>
      </c>
      <c r="AU9" s="13">
        <f t="shared" ref="AU9:AU10" si="4">AS9*AT9</f>
        <v>0</v>
      </c>
      <c r="AV9" s="6"/>
    </row>
    <row r="10" spans="1:48" ht="21" customHeight="1" thickBot="1" x14ac:dyDescent="0.3">
      <c r="A10" s="46"/>
      <c r="B10" s="14" t="s">
        <v>10</v>
      </c>
      <c r="C10" s="15">
        <f>IF(C3=1,IF(B5="N",IF(C5="M",9,IF(C5="A",5.5,1)),IF(C5="M",8,IF(C5="A",4.5,0))),0)</f>
        <v>0</v>
      </c>
      <c r="D10" s="15">
        <f t="shared" ref="D10:AK10" si="5">IF(D3=1,IF(C5="N",IF(D5="M",9,IF(D5="A",5.5,1)),IF(D5="M",8,IF(D5="A",4.5,0))),0)</f>
        <v>0</v>
      </c>
      <c r="E10" s="15">
        <f t="shared" si="5"/>
        <v>0</v>
      </c>
      <c r="F10" s="15">
        <f t="shared" si="5"/>
        <v>0</v>
      </c>
      <c r="G10" s="15">
        <f t="shared" si="5"/>
        <v>0</v>
      </c>
      <c r="H10" s="15">
        <f t="shared" si="5"/>
        <v>0</v>
      </c>
      <c r="I10" s="15">
        <f t="shared" si="5"/>
        <v>0</v>
      </c>
      <c r="J10" s="15">
        <f t="shared" si="5"/>
        <v>0</v>
      </c>
      <c r="K10" s="15">
        <f t="shared" si="5"/>
        <v>0</v>
      </c>
      <c r="L10" s="15">
        <f t="shared" si="5"/>
        <v>0</v>
      </c>
      <c r="M10" s="15">
        <f t="shared" si="5"/>
        <v>0</v>
      </c>
      <c r="N10" s="15">
        <f t="shared" si="5"/>
        <v>0</v>
      </c>
      <c r="O10" s="15">
        <f t="shared" si="5"/>
        <v>0</v>
      </c>
      <c r="P10" s="15">
        <f t="shared" si="5"/>
        <v>0</v>
      </c>
      <c r="Q10" s="15">
        <f t="shared" si="5"/>
        <v>0</v>
      </c>
      <c r="R10" s="15">
        <f t="shared" si="5"/>
        <v>0</v>
      </c>
      <c r="S10" s="15">
        <f t="shared" si="5"/>
        <v>0</v>
      </c>
      <c r="T10" s="15">
        <f t="shared" si="5"/>
        <v>0</v>
      </c>
      <c r="U10" s="15">
        <f t="shared" si="5"/>
        <v>0</v>
      </c>
      <c r="V10" s="15">
        <f t="shared" si="5"/>
        <v>0</v>
      </c>
      <c r="W10" s="15">
        <f t="shared" si="5"/>
        <v>0</v>
      </c>
      <c r="X10" s="15">
        <f t="shared" si="5"/>
        <v>0</v>
      </c>
      <c r="Y10" s="15">
        <f t="shared" si="5"/>
        <v>0</v>
      </c>
      <c r="Z10" s="15">
        <f t="shared" si="5"/>
        <v>0</v>
      </c>
      <c r="AA10" s="15">
        <f t="shared" si="5"/>
        <v>0</v>
      </c>
      <c r="AB10" s="15">
        <f t="shared" si="5"/>
        <v>0</v>
      </c>
      <c r="AC10" s="15">
        <f t="shared" si="5"/>
        <v>0</v>
      </c>
      <c r="AD10" s="15">
        <f t="shared" si="5"/>
        <v>0</v>
      </c>
      <c r="AE10" s="15">
        <f t="shared" si="5"/>
        <v>0</v>
      </c>
      <c r="AF10" s="15">
        <f t="shared" si="5"/>
        <v>0</v>
      </c>
      <c r="AG10" s="15">
        <f t="shared" si="5"/>
        <v>0</v>
      </c>
      <c r="AH10" s="15">
        <f t="shared" si="5"/>
        <v>0</v>
      </c>
      <c r="AI10" s="15">
        <f t="shared" si="5"/>
        <v>0</v>
      </c>
      <c r="AJ10" s="15">
        <f t="shared" si="5"/>
        <v>0</v>
      </c>
      <c r="AK10" s="20">
        <f t="shared" si="5"/>
        <v>0</v>
      </c>
      <c r="AL10" s="15">
        <f t="shared" ref="AL10:AR10" si="6">IF(AL3=1,IF(AK5="N",IF(AL5="M",9,IF(AL5="A",5.5,1)),IF(AL5="M",8,IF(AL5="A",4.5,0))),0)</f>
        <v>0</v>
      </c>
      <c r="AM10" s="15">
        <f t="shared" si="6"/>
        <v>0</v>
      </c>
      <c r="AN10" s="15">
        <f t="shared" si="6"/>
        <v>0</v>
      </c>
      <c r="AO10" s="15">
        <f t="shared" si="6"/>
        <v>0</v>
      </c>
      <c r="AP10" s="15">
        <f t="shared" si="6"/>
        <v>0</v>
      </c>
      <c r="AQ10" s="15">
        <f t="shared" si="6"/>
        <v>0</v>
      </c>
      <c r="AR10" s="15">
        <f t="shared" si="6"/>
        <v>0</v>
      </c>
      <c r="AS10" s="14">
        <f>SUM(C10:AK10)</f>
        <v>0</v>
      </c>
      <c r="AT10" s="16">
        <v>45000</v>
      </c>
      <c r="AU10" s="17">
        <f t="shared" si="4"/>
        <v>0</v>
      </c>
      <c r="AV10" s="6"/>
    </row>
    <row r="11" spans="1:48" ht="15.75" thickBot="1" x14ac:dyDescent="0.3">
      <c r="A11" s="4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6"/>
    </row>
    <row r="12" spans="1:48" x14ac:dyDescent="0.25">
      <c r="A12" s="46"/>
      <c r="B12" s="27" t="s">
        <v>16</v>
      </c>
      <c r="C12" s="28"/>
      <c r="D12" s="28"/>
      <c r="E12" s="28"/>
      <c r="F12" s="28"/>
      <c r="G12" s="28"/>
      <c r="H12" s="29"/>
      <c r="I12" s="2"/>
      <c r="J12" s="33" t="s">
        <v>18</v>
      </c>
      <c r="K12" s="34"/>
      <c r="L12" s="34"/>
      <c r="M12" s="34"/>
      <c r="N12" s="34"/>
      <c r="O12" s="34"/>
      <c r="P12" s="34"/>
      <c r="Q12" s="35"/>
      <c r="R12" s="2"/>
      <c r="S12" s="33" t="s">
        <v>19</v>
      </c>
      <c r="T12" s="34"/>
      <c r="U12" s="34"/>
      <c r="V12" s="34"/>
      <c r="W12" s="34"/>
      <c r="X12" s="34"/>
      <c r="Y12" s="34"/>
      <c r="Z12" s="34"/>
      <c r="AA12" s="35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6"/>
    </row>
    <row r="13" spans="1:48" ht="15.75" thickBot="1" x14ac:dyDescent="0.3">
      <c r="A13" s="46"/>
      <c r="B13" s="30">
        <f>J13+S13</f>
        <v>5500000</v>
      </c>
      <c r="C13" s="31"/>
      <c r="D13" s="31"/>
      <c r="E13" s="31"/>
      <c r="F13" s="31"/>
      <c r="G13" s="31"/>
      <c r="H13" s="32"/>
      <c r="I13" s="3"/>
      <c r="J13" s="30">
        <f>SUM(AU8:AU10)</f>
        <v>0</v>
      </c>
      <c r="K13" s="31"/>
      <c r="L13" s="31"/>
      <c r="M13" s="31"/>
      <c r="N13" s="31"/>
      <c r="O13" s="31"/>
      <c r="P13" s="31"/>
      <c r="Q13" s="32"/>
      <c r="R13" s="3"/>
      <c r="S13" s="30">
        <f>5500000</f>
        <v>5500000</v>
      </c>
      <c r="T13" s="31"/>
      <c r="U13" s="31"/>
      <c r="V13" s="31"/>
      <c r="W13" s="31"/>
      <c r="X13" s="31"/>
      <c r="Y13" s="31"/>
      <c r="Z13" s="31"/>
      <c r="AA13" s="3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6"/>
    </row>
    <row r="14" spans="1:48" ht="15.75" thickBot="1" x14ac:dyDescent="0.3">
      <c r="A14" s="46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6"/>
    </row>
    <row r="15" spans="1:48" x14ac:dyDescent="0.25">
      <c r="A15" s="46"/>
      <c r="B15" s="2"/>
      <c r="C15" s="2"/>
      <c r="D15" s="2"/>
      <c r="E15" s="2"/>
      <c r="F15" s="2"/>
      <c r="G15" s="2"/>
      <c r="H15" s="2"/>
      <c r="I15" s="3"/>
      <c r="J15" s="36" t="s">
        <v>17</v>
      </c>
      <c r="K15" s="37"/>
      <c r="L15" s="37"/>
      <c r="M15" s="37"/>
      <c r="N15" s="37"/>
      <c r="O15" s="37"/>
      <c r="P15" s="37"/>
      <c r="Q15" s="38"/>
      <c r="R15" s="3"/>
      <c r="S15" s="3"/>
      <c r="T15" s="3"/>
      <c r="U15" s="3"/>
      <c r="V15" s="3"/>
      <c r="W15" s="3"/>
      <c r="X15" s="3"/>
      <c r="Y15" s="3"/>
      <c r="Z15" s="3"/>
      <c r="AA15" s="3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6"/>
    </row>
    <row r="16" spans="1:48" ht="15.75" thickBot="1" x14ac:dyDescent="0.3">
      <c r="A16" s="46"/>
      <c r="B16" s="2"/>
      <c r="C16" s="2"/>
      <c r="D16" s="2"/>
      <c r="E16" s="2"/>
      <c r="F16" s="2"/>
      <c r="G16" s="2"/>
      <c r="H16" s="2"/>
      <c r="I16" s="3"/>
      <c r="J16" s="30">
        <f>B13*0.9</f>
        <v>4950000</v>
      </c>
      <c r="K16" s="31"/>
      <c r="L16" s="31"/>
      <c r="M16" s="31"/>
      <c r="N16" s="31"/>
      <c r="O16" s="31"/>
      <c r="P16" s="31"/>
      <c r="Q16" s="32"/>
      <c r="R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6"/>
    </row>
    <row r="17" spans="1:48" x14ac:dyDescent="0.25">
      <c r="A17" s="46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6"/>
    </row>
    <row r="18" spans="1:48" x14ac:dyDescent="0.25">
      <c r="A18" s="46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6"/>
    </row>
    <row r="19" spans="1:48" x14ac:dyDescent="0.25">
      <c r="A19" s="46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6"/>
    </row>
    <row r="20" spans="1:48" x14ac:dyDescent="0.25">
      <c r="A20" s="46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6"/>
    </row>
    <row r="21" spans="1:48" ht="15.75" thickBot="1" x14ac:dyDescent="0.3">
      <c r="A21" s="47"/>
      <c r="B21" s="48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7"/>
    </row>
  </sheetData>
  <mergeCells count="8">
    <mergeCell ref="S12:AA12"/>
    <mergeCell ref="S13:AA13"/>
    <mergeCell ref="J15:Q15"/>
    <mergeCell ref="J16:Q16"/>
    <mergeCell ref="B12:H12"/>
    <mergeCell ref="B13:H13"/>
    <mergeCell ref="J12:Q12"/>
    <mergeCell ref="J13:Q13"/>
  </mergeCells>
  <conditionalFormatting sqref="C4">
    <cfRule type="expression" dxfId="91" priority="114">
      <formula>$C$3=1</formula>
    </cfRule>
  </conditionalFormatting>
  <conditionalFormatting sqref="D4">
    <cfRule type="expression" dxfId="90" priority="113">
      <formula>$D$3=1</formula>
    </cfRule>
  </conditionalFormatting>
  <conditionalFormatting sqref="E4">
    <cfRule type="expression" dxfId="89" priority="81">
      <formula>$E$3=1</formula>
    </cfRule>
  </conditionalFormatting>
  <conditionalFormatting sqref="F4">
    <cfRule type="expression" dxfId="88" priority="80">
      <formula>$F$3=1</formula>
    </cfRule>
  </conditionalFormatting>
  <conditionalFormatting sqref="G4">
    <cfRule type="expression" dxfId="87" priority="79">
      <formula>$G$3=1</formula>
    </cfRule>
  </conditionalFormatting>
  <conditionalFormatting sqref="H4">
    <cfRule type="expression" dxfId="86" priority="78">
      <formula>$H$3=1</formula>
    </cfRule>
  </conditionalFormatting>
  <conditionalFormatting sqref="I4">
    <cfRule type="expression" dxfId="85" priority="77">
      <formula>$I$3=1</formula>
    </cfRule>
  </conditionalFormatting>
  <conditionalFormatting sqref="J4">
    <cfRule type="expression" dxfId="84" priority="50">
      <formula>$J$3=1</formula>
    </cfRule>
  </conditionalFormatting>
  <conditionalFormatting sqref="K4">
    <cfRule type="expression" dxfId="83" priority="49">
      <formula>$K$3=1</formula>
    </cfRule>
  </conditionalFormatting>
  <conditionalFormatting sqref="L4">
    <cfRule type="expression" dxfId="82" priority="48">
      <formula>$L$3=1</formula>
    </cfRule>
  </conditionalFormatting>
  <conditionalFormatting sqref="M4">
    <cfRule type="expression" dxfId="81" priority="47">
      <formula>$M$3=1</formula>
    </cfRule>
  </conditionalFormatting>
  <conditionalFormatting sqref="N4">
    <cfRule type="expression" dxfId="80" priority="46">
      <formula>$N$3=1</formula>
    </cfRule>
  </conditionalFormatting>
  <conditionalFormatting sqref="O4">
    <cfRule type="expression" dxfId="79" priority="45">
      <formula>$O$3=1</formula>
    </cfRule>
  </conditionalFormatting>
  <conditionalFormatting sqref="P4">
    <cfRule type="expression" dxfId="78" priority="44">
      <formula>$P$3=1</formula>
    </cfRule>
  </conditionalFormatting>
  <conditionalFormatting sqref="Q4">
    <cfRule type="expression" dxfId="77" priority="43">
      <formula>$Q$3=1</formula>
    </cfRule>
  </conditionalFormatting>
  <conditionalFormatting sqref="R4">
    <cfRule type="expression" dxfId="76" priority="42">
      <formula>$R$3=1</formula>
    </cfRule>
  </conditionalFormatting>
  <conditionalFormatting sqref="S4">
    <cfRule type="expression" dxfId="75" priority="41">
      <formula>$S$3=1</formula>
    </cfRule>
  </conditionalFormatting>
  <conditionalFormatting sqref="T4">
    <cfRule type="expression" dxfId="74" priority="40">
      <formula>$T$3=1</formula>
    </cfRule>
  </conditionalFormatting>
  <conditionalFormatting sqref="U4">
    <cfRule type="expression" dxfId="73" priority="39">
      <formula>$U$3=1</formula>
    </cfRule>
  </conditionalFormatting>
  <conditionalFormatting sqref="V4">
    <cfRule type="expression" dxfId="72" priority="38">
      <formula>$V$3=1</formula>
    </cfRule>
  </conditionalFormatting>
  <conditionalFormatting sqref="W4">
    <cfRule type="expression" dxfId="71" priority="37">
      <formula>$W$3=1</formula>
    </cfRule>
  </conditionalFormatting>
  <conditionalFormatting sqref="X4">
    <cfRule type="expression" dxfId="70" priority="29">
      <formula>$X$3=1</formula>
    </cfRule>
  </conditionalFormatting>
  <conditionalFormatting sqref="Y4">
    <cfRule type="expression" dxfId="69" priority="28">
      <formula>$Y$3=1</formula>
    </cfRule>
  </conditionalFormatting>
  <conditionalFormatting sqref="Z4">
    <cfRule type="expression" dxfId="68" priority="27">
      <formula>$Z$3=1</formula>
    </cfRule>
  </conditionalFormatting>
  <conditionalFormatting sqref="AA4">
    <cfRule type="expression" dxfId="67" priority="26">
      <formula>$AA$3=1</formula>
    </cfRule>
  </conditionalFormatting>
  <conditionalFormatting sqref="AB4">
    <cfRule type="expression" dxfId="66" priority="25">
      <formula>$AB$3=1</formula>
    </cfRule>
  </conditionalFormatting>
  <conditionalFormatting sqref="AC4">
    <cfRule type="expression" dxfId="65" priority="24">
      <formula>$AC$3=1</formula>
    </cfRule>
  </conditionalFormatting>
  <conditionalFormatting sqref="AD4">
    <cfRule type="expression" dxfId="64" priority="23">
      <formula>$AD$3=1</formula>
    </cfRule>
  </conditionalFormatting>
  <conditionalFormatting sqref="AE4">
    <cfRule type="expression" dxfId="63" priority="22">
      <formula>$AE$3=1</formula>
    </cfRule>
  </conditionalFormatting>
  <conditionalFormatting sqref="AF4">
    <cfRule type="expression" dxfId="62" priority="21">
      <formula>$AF$3=1</formula>
    </cfRule>
  </conditionalFormatting>
  <conditionalFormatting sqref="AG4">
    <cfRule type="expression" dxfId="61" priority="20">
      <formula>$AG$3=1</formula>
    </cfRule>
  </conditionalFormatting>
  <conditionalFormatting sqref="AH4">
    <cfRule type="expression" dxfId="60" priority="19">
      <formula>$AH$3=1</formula>
    </cfRule>
  </conditionalFormatting>
  <conditionalFormatting sqref="AI4">
    <cfRule type="expression" dxfId="59" priority="18">
      <formula>$AI$3=1</formula>
    </cfRule>
  </conditionalFormatting>
  <conditionalFormatting sqref="AJ4">
    <cfRule type="expression" dxfId="58" priority="17">
      <formula>$AJ$3=1</formula>
    </cfRule>
  </conditionalFormatting>
  <conditionalFormatting sqref="AK4">
    <cfRule type="expression" dxfId="57" priority="16">
      <formula>$AK$3=1</formula>
    </cfRule>
  </conditionalFormatting>
  <conditionalFormatting sqref="AL4">
    <cfRule type="expression" dxfId="56" priority="7">
      <formula>$AL$3=1</formula>
    </cfRule>
  </conditionalFormatting>
  <conditionalFormatting sqref="AM4">
    <cfRule type="expression" dxfId="55" priority="6">
      <formula>$AM$3=1</formula>
    </cfRule>
  </conditionalFormatting>
  <conditionalFormatting sqref="AN4">
    <cfRule type="expression" dxfId="54" priority="5">
      <formula>$AN$3=1</formula>
    </cfRule>
  </conditionalFormatting>
  <conditionalFormatting sqref="AO4">
    <cfRule type="expression" dxfId="53" priority="4">
      <formula>$AO$3=1</formula>
    </cfRule>
  </conditionalFormatting>
  <conditionalFormatting sqref="AP4">
    <cfRule type="expression" dxfId="52" priority="3">
      <formula>$AP$3=1</formula>
    </cfRule>
  </conditionalFormatting>
  <conditionalFormatting sqref="AQ4">
    <cfRule type="expression" dxfId="51" priority="2">
      <formula>$AQ$3=1</formula>
    </cfRule>
  </conditionalFormatting>
  <conditionalFormatting sqref="AR4">
    <cfRule type="expression" dxfId="50" priority="1">
      <formula>$AR$3=1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sarta</dc:creator>
  <cp:lastModifiedBy>sebastian sarta</cp:lastModifiedBy>
  <dcterms:created xsi:type="dcterms:W3CDTF">2026-06-09T14:23:29Z</dcterms:created>
  <dcterms:modified xsi:type="dcterms:W3CDTF">2026-06-09T17:29:41Z</dcterms:modified>
</cp:coreProperties>
</file>